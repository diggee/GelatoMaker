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dients_information" sheetId="1" r:id="rId4"/>
  </sheets>
  <definedNames/>
  <calcPr/>
  <extLst>
    <ext uri="GoogleSheetsCustomDataVersion2">
      <go:sheetsCustomData xmlns:go="http://customooxmlschemas.google.com/" r:id="rId5" roundtripDataChecksum="agCq65BXWQc88FdPZlZTXvwwWCRFWFWgZ5p2+3rQuiU="/>
    </ext>
  </extLst>
</workbook>
</file>

<file path=xl/sharedStrings.xml><?xml version="1.0" encoding="utf-8"?>
<sst xmlns="http://schemas.openxmlformats.org/spreadsheetml/2006/main" count="64" uniqueCount="49">
  <si>
    <t>Name</t>
  </si>
  <si>
    <t>Energy (Kcal)</t>
  </si>
  <si>
    <t>Protein (g)</t>
  </si>
  <si>
    <t>Carbohydrates (g)</t>
  </si>
  <si>
    <t>Total Sugar (g)</t>
  </si>
  <si>
    <t>Total Fat (g)</t>
  </si>
  <si>
    <t>Cholestrol (mg)</t>
  </si>
  <si>
    <t>Sodium (mg)</t>
  </si>
  <si>
    <t>Calcium (mg)</t>
  </si>
  <si>
    <t>MSNF (g)</t>
  </si>
  <si>
    <t>Water (g)</t>
  </si>
  <si>
    <t>PAC</t>
  </si>
  <si>
    <t>POD</t>
  </si>
  <si>
    <t>Cost</t>
  </si>
  <si>
    <t>Cream</t>
  </si>
  <si>
    <t>D'electa Dairy Whipping Cream</t>
  </si>
  <si>
    <t>Milk</t>
  </si>
  <si>
    <t>Amul Taaza</t>
  </si>
  <si>
    <t>Amul Gold</t>
  </si>
  <si>
    <t>Country Delight</t>
  </si>
  <si>
    <t>Country Delight Full Cream</t>
  </si>
  <si>
    <t>Skimmed Milk Powder</t>
  </si>
  <si>
    <t>NAKPRO Skimmed Milk Powder</t>
  </si>
  <si>
    <t>Chocolate</t>
  </si>
  <si>
    <t>Amul Dark Chocolate 55% Sugar Free</t>
  </si>
  <si>
    <t>Sugar</t>
  </si>
  <si>
    <t>Popular Essentials Refined Sugar</t>
  </si>
  <si>
    <t>Stabilizer</t>
  </si>
  <si>
    <t>Weikfield Cornstarch</t>
  </si>
  <si>
    <t>Emulsifier</t>
  </si>
  <si>
    <t>Meron Soy Lecithin</t>
  </si>
  <si>
    <t>Meron Guar Gum</t>
  </si>
  <si>
    <t>Dextrose</t>
  </si>
  <si>
    <t>Meron Dextrose</t>
  </si>
  <si>
    <t>Sid's Farm</t>
  </si>
  <si>
    <t xml:space="preserve">Amul Dark Chocolate 75% </t>
  </si>
  <si>
    <t>Amul Belgian Chocolate</t>
  </si>
  <si>
    <t>Cocoa Powder</t>
  </si>
  <si>
    <t>Hershey's Cocoa Powder</t>
  </si>
  <si>
    <t>BAR70 Dark Couverture</t>
  </si>
  <si>
    <t>BAR38 Milk Couverture</t>
  </si>
  <si>
    <t>BAR Cocoa Powder</t>
  </si>
  <si>
    <t>Amul Taaza Tetrapack</t>
  </si>
  <si>
    <t>Mix-in</t>
  </si>
  <si>
    <t>Strawberry</t>
  </si>
  <si>
    <t>Hazelnut Paste</t>
  </si>
  <si>
    <t>Vanilla Bean</t>
  </si>
  <si>
    <t>Lemon Juice</t>
  </si>
  <si>
    <t>BAR33 White Couverture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</si>
</sst>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top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2" xfId="0" applyAlignment="1" applyFont="1" applyNumberFormat="1">
      <alignment horizontal="center" readingOrder="0"/>
    </xf>
    <xf borderId="0" fillId="0" fontId="2" numFmtId="2" xfId="0" applyAlignment="1" applyFont="1" applyNumberFormat="1">
      <alignment horizontal="center"/>
    </xf>
    <xf borderId="0" fillId="0" fontId="2" numFmtId="1" xfId="0" applyAlignment="1" applyFont="1" applyNumberFormat="1">
      <alignment horizontal="center" readingOrder="0"/>
    </xf>
    <xf borderId="1" fillId="0" fontId="3" numFmtId="0" xfId="0" applyAlignment="1" applyBorder="1" applyFont="1">
      <alignment horizontal="center" vertical="top"/>
    </xf>
    <xf borderId="0" fillId="0" fontId="3" numFmtId="0" xfId="0" applyAlignment="1" applyFont="1">
      <alignment horizontal="center" readingOrder="0" vertical="top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4" numFmtId="2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33.14"/>
    <col customWidth="1" min="3" max="3" width="12.29"/>
    <col customWidth="1" min="4" max="4" width="10.29"/>
    <col customWidth="1" min="5" max="5" width="16.57"/>
    <col customWidth="1" min="6" max="6" width="13.43"/>
    <col customWidth="1" min="7" max="7" width="11.29"/>
    <col customWidth="1" min="8" max="8" width="14.43"/>
    <col customWidth="1" min="9" max="9" width="12.14"/>
    <col customWidth="1" min="10" max="10" width="12.43"/>
    <col customWidth="1" min="11" max="11" width="9.57"/>
    <col customWidth="1" min="12" max="12" width="9.71"/>
    <col customWidth="1" min="13" max="14" width="7.0"/>
    <col customWidth="1" min="15" max="15" width="6.71"/>
    <col customWidth="1" min="16" max="29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1" t="s">
        <v>14</v>
      </c>
      <c r="B2" s="3" t="s">
        <v>15</v>
      </c>
      <c r="C2" s="4">
        <v>355.55</v>
      </c>
      <c r="D2" s="4">
        <v>3.17</v>
      </c>
      <c r="E2" s="4">
        <v>5.95</v>
      </c>
      <c r="F2" s="4">
        <v>3.06</v>
      </c>
      <c r="G2" s="4">
        <v>35.0</v>
      </c>
      <c r="H2" s="4">
        <v>34.88</v>
      </c>
      <c r="I2" s="4">
        <v>1725.45</v>
      </c>
      <c r="J2" s="4">
        <v>0.0</v>
      </c>
      <c r="K2" s="4">
        <v>9.12</v>
      </c>
      <c r="L2" s="4">
        <v>56.88</v>
      </c>
      <c r="M2" s="5">
        <v>100.0</v>
      </c>
      <c r="N2" s="5">
        <v>16.0</v>
      </c>
      <c r="O2" s="4">
        <v>57.99999999999999</v>
      </c>
    </row>
    <row r="3">
      <c r="A3" s="1" t="s">
        <v>16</v>
      </c>
      <c r="B3" s="3" t="s">
        <v>17</v>
      </c>
      <c r="C3" s="4">
        <v>62.0</v>
      </c>
      <c r="D3" s="4">
        <v>3.0</v>
      </c>
      <c r="E3" s="4">
        <v>4.7</v>
      </c>
      <c r="F3" s="4">
        <v>4.7</v>
      </c>
      <c r="G3" s="4">
        <v>3.5</v>
      </c>
      <c r="H3" s="4">
        <v>9.0</v>
      </c>
      <c r="I3" s="4">
        <v>40.0</v>
      </c>
      <c r="J3" s="4">
        <v>110.0</v>
      </c>
      <c r="K3" s="4">
        <v>8.5</v>
      </c>
      <c r="L3" s="5">
        <v>88.0</v>
      </c>
      <c r="M3" s="5">
        <v>100.0</v>
      </c>
      <c r="N3" s="5">
        <v>16.0</v>
      </c>
      <c r="O3" s="4">
        <v>5.800000000000001</v>
      </c>
    </row>
    <row r="4">
      <c r="A4" s="1" t="s">
        <v>16</v>
      </c>
      <c r="B4" s="3" t="s">
        <v>18</v>
      </c>
      <c r="C4" s="4">
        <v>91.0</v>
      </c>
      <c r="D4" s="4">
        <v>3.2</v>
      </c>
      <c r="E4" s="4">
        <v>5.0</v>
      </c>
      <c r="F4" s="4">
        <v>5.0</v>
      </c>
      <c r="G4" s="4">
        <v>6.5</v>
      </c>
      <c r="H4" s="4">
        <v>17.0</v>
      </c>
      <c r="I4" s="4">
        <v>42.0</v>
      </c>
      <c r="J4" s="4">
        <v>120.0</v>
      </c>
      <c r="K4" s="4">
        <v>9.0</v>
      </c>
      <c r="L4" s="4">
        <v>84.5</v>
      </c>
      <c r="M4" s="5">
        <v>100.0</v>
      </c>
      <c r="N4" s="5">
        <v>16.0</v>
      </c>
      <c r="O4" s="4">
        <v>7.000000000000001</v>
      </c>
    </row>
    <row r="5">
      <c r="A5" s="1" t="s">
        <v>16</v>
      </c>
      <c r="B5" s="3" t="s">
        <v>19</v>
      </c>
      <c r="C5" s="4">
        <v>63.0</v>
      </c>
      <c r="D5" s="4">
        <v>3.2</v>
      </c>
      <c r="E5" s="4">
        <v>4.4</v>
      </c>
      <c r="F5" s="4">
        <v>4.0</v>
      </c>
      <c r="G5" s="4">
        <v>3.5</v>
      </c>
      <c r="H5" s="4">
        <v>7.0</v>
      </c>
      <c r="I5" s="4">
        <v>40.0</v>
      </c>
      <c r="J5" s="4">
        <v>150.0</v>
      </c>
      <c r="K5" s="4">
        <v>8.5</v>
      </c>
      <c r="L5" s="4">
        <v>88.0</v>
      </c>
      <c r="M5" s="5">
        <v>100.0</v>
      </c>
      <c r="N5" s="5">
        <v>16.0</v>
      </c>
      <c r="O5" s="4">
        <v>9.8</v>
      </c>
    </row>
    <row r="6">
      <c r="A6" s="1" t="s">
        <v>16</v>
      </c>
      <c r="B6" s="3" t="s">
        <v>20</v>
      </c>
      <c r="C6" s="4">
        <v>86.0</v>
      </c>
      <c r="D6" s="4">
        <v>3.2</v>
      </c>
      <c r="E6" s="4">
        <v>4.9</v>
      </c>
      <c r="F6" s="4">
        <v>4.9</v>
      </c>
      <c r="G6" s="4">
        <v>6.0</v>
      </c>
      <c r="H6" s="4">
        <v>13.0</v>
      </c>
      <c r="I6" s="4">
        <v>45.0</v>
      </c>
      <c r="J6" s="4">
        <v>150.0</v>
      </c>
      <c r="K6" s="4">
        <v>9.0</v>
      </c>
      <c r="L6" s="4">
        <v>85.0</v>
      </c>
      <c r="M6" s="5">
        <v>100.0</v>
      </c>
      <c r="N6" s="5">
        <v>16.0</v>
      </c>
      <c r="O6" s="4">
        <v>12.0</v>
      </c>
    </row>
    <row r="7">
      <c r="A7" s="1" t="s">
        <v>21</v>
      </c>
      <c r="B7" s="3" t="s">
        <v>22</v>
      </c>
      <c r="C7" s="4">
        <v>367.0</v>
      </c>
      <c r="D7" s="4">
        <v>35.0</v>
      </c>
      <c r="E7" s="4">
        <v>54.0</v>
      </c>
      <c r="F7" s="4">
        <v>54.0</v>
      </c>
      <c r="G7" s="4">
        <v>1.2</v>
      </c>
      <c r="H7" s="4">
        <v>9.0</v>
      </c>
      <c r="I7" s="4">
        <v>40.0</v>
      </c>
      <c r="J7" s="4">
        <v>110.0</v>
      </c>
      <c r="K7" s="4">
        <v>95.0</v>
      </c>
      <c r="L7" s="4">
        <v>3.0</v>
      </c>
      <c r="M7" s="5">
        <v>100.0</v>
      </c>
      <c r="N7" s="5">
        <v>16.0</v>
      </c>
      <c r="O7" s="4">
        <v>51.0</v>
      </c>
    </row>
    <row r="8">
      <c r="A8" s="1" t="s">
        <v>23</v>
      </c>
      <c r="B8" s="6" t="s">
        <v>24</v>
      </c>
      <c r="C8" s="4">
        <v>558.0</v>
      </c>
      <c r="D8" s="4">
        <v>6.0</v>
      </c>
      <c r="E8" s="4">
        <v>56.7</v>
      </c>
      <c r="F8" s="4">
        <v>0.5</v>
      </c>
      <c r="G8" s="4">
        <v>33.8</v>
      </c>
      <c r="H8" s="4">
        <v>0.0</v>
      </c>
      <c r="I8" s="4">
        <v>38.0</v>
      </c>
      <c r="J8" s="4">
        <v>0.0</v>
      </c>
      <c r="K8" s="4">
        <v>0.0</v>
      </c>
      <c r="L8" s="4">
        <v>0.0</v>
      </c>
      <c r="M8" s="5">
        <v>118.5</v>
      </c>
      <c r="N8" s="5">
        <v>51.1</v>
      </c>
      <c r="O8" s="4">
        <v>120.0</v>
      </c>
    </row>
    <row r="9">
      <c r="A9" s="1" t="s">
        <v>25</v>
      </c>
      <c r="B9" s="3" t="s">
        <v>26</v>
      </c>
      <c r="C9" s="4">
        <v>387.0</v>
      </c>
      <c r="D9" s="4">
        <v>0.0</v>
      </c>
      <c r="E9" s="4">
        <v>100.0</v>
      </c>
      <c r="F9" s="4">
        <v>100.0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5">
        <v>100.0</v>
      </c>
      <c r="N9" s="5">
        <v>100.0</v>
      </c>
      <c r="O9" s="4">
        <v>7.3</v>
      </c>
    </row>
    <row r="10">
      <c r="A10" s="1" t="s">
        <v>27</v>
      </c>
      <c r="B10" s="3" t="s">
        <v>28</v>
      </c>
      <c r="C10" s="4">
        <v>350.0</v>
      </c>
      <c r="D10" s="4">
        <v>0.0</v>
      </c>
      <c r="E10" s="4">
        <v>87.2</v>
      </c>
      <c r="F10" s="4">
        <v>0.0</v>
      </c>
      <c r="G10" s="4">
        <v>0.0</v>
      </c>
      <c r="H10" s="4">
        <v>0.0</v>
      </c>
      <c r="I10" s="4">
        <v>14.7</v>
      </c>
      <c r="J10" s="4">
        <v>0.0</v>
      </c>
      <c r="K10" s="4">
        <v>0.0</v>
      </c>
      <c r="L10" s="4">
        <v>0.0</v>
      </c>
      <c r="M10" s="5">
        <v>0.0</v>
      </c>
      <c r="N10" s="5">
        <v>0.0</v>
      </c>
      <c r="O10" s="4">
        <v>33.0</v>
      </c>
    </row>
    <row r="11">
      <c r="A11" s="1" t="s">
        <v>29</v>
      </c>
      <c r="B11" s="3" t="s">
        <v>30</v>
      </c>
      <c r="C11" s="4">
        <v>714.0</v>
      </c>
      <c r="D11" s="4">
        <v>0.0</v>
      </c>
      <c r="E11" s="4">
        <v>12.0</v>
      </c>
      <c r="F11" s="4">
        <v>0.45</v>
      </c>
      <c r="G11" s="4">
        <v>64.0</v>
      </c>
      <c r="H11" s="4">
        <v>0.0</v>
      </c>
      <c r="I11" s="4">
        <v>10.0</v>
      </c>
      <c r="J11" s="4">
        <v>150.0</v>
      </c>
      <c r="K11" s="4">
        <v>0.0</v>
      </c>
      <c r="L11" s="4">
        <v>0.0</v>
      </c>
      <c r="M11" s="5">
        <v>0.0</v>
      </c>
      <c r="N11" s="5">
        <v>0.0</v>
      </c>
      <c r="O11" s="4">
        <v>125.0</v>
      </c>
    </row>
    <row r="12">
      <c r="A12" s="1" t="s">
        <v>27</v>
      </c>
      <c r="B12" s="3" t="s">
        <v>31</v>
      </c>
      <c r="C12" s="4">
        <v>208.0</v>
      </c>
      <c r="D12" s="4">
        <v>2.28</v>
      </c>
      <c r="E12" s="4">
        <v>51.6</v>
      </c>
      <c r="F12" s="4">
        <v>0.0</v>
      </c>
      <c r="G12" s="4">
        <v>3.0</v>
      </c>
      <c r="H12" s="4">
        <v>0.0</v>
      </c>
      <c r="I12" s="4">
        <v>18.0</v>
      </c>
      <c r="J12" s="4">
        <v>162.0</v>
      </c>
      <c r="K12" s="4">
        <v>0.0</v>
      </c>
      <c r="L12" s="4">
        <v>0.0</v>
      </c>
      <c r="M12" s="5">
        <v>0.0</v>
      </c>
      <c r="N12" s="5">
        <v>0.0</v>
      </c>
      <c r="O12" s="4">
        <v>142.0</v>
      </c>
    </row>
    <row r="13">
      <c r="A13" s="1" t="s">
        <v>32</v>
      </c>
      <c r="B13" s="3" t="s">
        <v>33</v>
      </c>
      <c r="C13" s="4">
        <v>387.0</v>
      </c>
      <c r="D13" s="4">
        <v>0.0</v>
      </c>
      <c r="E13" s="4">
        <v>100.0</v>
      </c>
      <c r="F13" s="4">
        <v>100.0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5">
        <v>190.0</v>
      </c>
      <c r="N13" s="5">
        <v>70.0</v>
      </c>
      <c r="O13" s="4">
        <v>44.4</v>
      </c>
    </row>
    <row r="14">
      <c r="A14" s="7" t="s">
        <v>16</v>
      </c>
      <c r="B14" s="8" t="s">
        <v>34</v>
      </c>
      <c r="C14" s="5">
        <v>64.7</v>
      </c>
      <c r="D14" s="5">
        <v>3.3</v>
      </c>
      <c r="E14" s="5">
        <v>5.0</v>
      </c>
      <c r="F14" s="5">
        <v>4.9</v>
      </c>
      <c r="G14" s="5">
        <v>3.5</v>
      </c>
      <c r="H14" s="5">
        <v>11.3</v>
      </c>
      <c r="I14" s="5">
        <v>40.0</v>
      </c>
      <c r="J14" s="5">
        <v>120.0</v>
      </c>
      <c r="K14" s="5">
        <v>8.3</v>
      </c>
      <c r="L14" s="4">
        <f>100-G14-K14</f>
        <v>88.2</v>
      </c>
      <c r="M14" s="5">
        <v>100.0</v>
      </c>
      <c r="N14" s="5">
        <v>16.0</v>
      </c>
      <c r="O14" s="5">
        <v>8.0</v>
      </c>
    </row>
    <row r="15">
      <c r="A15" s="1" t="s">
        <v>23</v>
      </c>
      <c r="B15" s="6" t="s">
        <v>35</v>
      </c>
      <c r="C15" s="5">
        <v>538.0</v>
      </c>
      <c r="D15" s="5">
        <v>9.6</v>
      </c>
      <c r="E15" s="5">
        <v>37.4</v>
      </c>
      <c r="F15" s="5">
        <v>25.3</v>
      </c>
      <c r="G15" s="5">
        <v>39.8</v>
      </c>
      <c r="H15" s="4">
        <v>0.0</v>
      </c>
      <c r="I15" s="5">
        <v>57.0</v>
      </c>
      <c r="J15" s="4">
        <v>0.0</v>
      </c>
      <c r="K15" s="4">
        <v>0.0</v>
      </c>
      <c r="L15" s="4">
        <v>0.0</v>
      </c>
      <c r="M15" s="9">
        <f>((24.5*100)+(0*100)+(0.8*190))/25.3</f>
        <v>102.8458498</v>
      </c>
      <c r="N15" s="9">
        <f>((24.5*100)+(0*16)+(0.8*130))/25.3</f>
        <v>100.9486166</v>
      </c>
      <c r="O15" s="4">
        <v>120.0</v>
      </c>
    </row>
    <row r="16">
      <c r="A16" s="1" t="s">
        <v>23</v>
      </c>
      <c r="B16" s="6" t="s">
        <v>36</v>
      </c>
      <c r="C16" s="5">
        <v>551.0</v>
      </c>
      <c r="D16" s="5">
        <v>8.7</v>
      </c>
      <c r="E16" s="5">
        <v>51.2</v>
      </c>
      <c r="F16" s="5">
        <v>49.6</v>
      </c>
      <c r="G16" s="5">
        <v>35.3</v>
      </c>
      <c r="H16" s="4">
        <v>0.0</v>
      </c>
      <c r="I16" s="5">
        <v>155.0</v>
      </c>
      <c r="J16" s="4">
        <v>0.0</v>
      </c>
      <c r="K16" s="10">
        <f>1.07*(0.88*D16+8)</f>
        <v>16.75192</v>
      </c>
      <c r="L16" s="4">
        <v>0.0</v>
      </c>
      <c r="M16" s="9">
        <f>((40*100)+(8*100) + (1.6*190))/49.6</f>
        <v>102.9032258</v>
      </c>
      <c r="N16" s="11">
        <f>((40*100)+(8*16)+(1.6*130))/49.6</f>
        <v>87.41935484</v>
      </c>
      <c r="O16" s="5">
        <v>128.0</v>
      </c>
    </row>
    <row r="17">
      <c r="A17" s="1" t="s">
        <v>37</v>
      </c>
      <c r="B17" s="6" t="s">
        <v>38</v>
      </c>
      <c r="C17" s="5">
        <v>409.0</v>
      </c>
      <c r="D17" s="5">
        <v>19.6</v>
      </c>
      <c r="E17" s="5">
        <v>58.0</v>
      </c>
      <c r="F17" s="5">
        <v>1.8</v>
      </c>
      <c r="G17" s="5">
        <v>11.0</v>
      </c>
      <c r="H17" s="4">
        <v>0.0</v>
      </c>
      <c r="I17" s="5">
        <v>4.0</v>
      </c>
      <c r="J17" s="4">
        <v>0.0</v>
      </c>
      <c r="K17" s="10">
        <v>0.0</v>
      </c>
      <c r="L17" s="4">
        <v>0.0</v>
      </c>
      <c r="M17" s="9">
        <v>0.0</v>
      </c>
      <c r="N17" s="11">
        <v>0.0</v>
      </c>
      <c r="O17" s="5">
        <v>200.0</v>
      </c>
    </row>
    <row r="18">
      <c r="A18" s="1" t="s">
        <v>23</v>
      </c>
      <c r="B18" s="6" t="s">
        <v>39</v>
      </c>
      <c r="C18" s="5">
        <v>600.0</v>
      </c>
      <c r="D18" s="5">
        <v>8.0</v>
      </c>
      <c r="E18" s="5">
        <v>51.0</v>
      </c>
      <c r="F18" s="5">
        <v>27.0</v>
      </c>
      <c r="G18" s="5">
        <v>37.0</v>
      </c>
      <c r="H18" s="4">
        <v>0.0</v>
      </c>
      <c r="I18" s="5">
        <v>30.0</v>
      </c>
      <c r="J18" s="4">
        <v>0.0</v>
      </c>
      <c r="K18" s="9">
        <v>0.0</v>
      </c>
      <c r="L18" s="4">
        <v>0.0</v>
      </c>
      <c r="M18" s="9">
        <v>100.0</v>
      </c>
      <c r="N18" s="9">
        <v>100.0</v>
      </c>
      <c r="O18" s="5">
        <v>195.0</v>
      </c>
    </row>
    <row r="19">
      <c r="A19" s="12" t="s">
        <v>23</v>
      </c>
      <c r="B19" s="13" t="s">
        <v>40</v>
      </c>
      <c r="C19" s="14">
        <v>560.0</v>
      </c>
      <c r="D19" s="14">
        <v>4.2</v>
      </c>
      <c r="E19" s="14">
        <v>56.0</v>
      </c>
      <c r="F19" s="14">
        <v>47.0</v>
      </c>
      <c r="G19" s="14">
        <v>35.0</v>
      </c>
      <c r="H19" s="15">
        <v>0.0</v>
      </c>
      <c r="I19" s="14">
        <v>0.0</v>
      </c>
      <c r="J19" s="15">
        <v>0.0</v>
      </c>
      <c r="K19" s="16">
        <f>1.07*(0.88*D19+6)</f>
        <v>10.37472</v>
      </c>
      <c r="L19" s="15">
        <v>0.0</v>
      </c>
      <c r="M19" s="16">
        <f>((46*100)+(5*100))/51</f>
        <v>100</v>
      </c>
      <c r="N19" s="16">
        <f>((46*100)+(1*16))/47</f>
        <v>98.21276596</v>
      </c>
      <c r="O19" s="14">
        <v>145.0</v>
      </c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>
      <c r="A20" s="1" t="s">
        <v>37</v>
      </c>
      <c r="B20" s="6" t="s">
        <v>41</v>
      </c>
      <c r="C20" s="5">
        <v>313.0</v>
      </c>
      <c r="D20" s="5">
        <v>0.0</v>
      </c>
      <c r="E20" s="5">
        <v>45.7</v>
      </c>
      <c r="F20" s="5">
        <v>1.0</v>
      </c>
      <c r="G20" s="5">
        <v>11.0</v>
      </c>
      <c r="H20" s="4">
        <v>0.0</v>
      </c>
      <c r="I20" s="5">
        <v>25.0</v>
      </c>
      <c r="J20" s="4">
        <v>0.0</v>
      </c>
      <c r="K20" s="10">
        <v>0.0</v>
      </c>
      <c r="L20" s="4">
        <v>0.0</v>
      </c>
      <c r="M20" s="9">
        <v>0.0</v>
      </c>
      <c r="N20" s="11">
        <v>0.0</v>
      </c>
      <c r="O20" s="5">
        <v>200.0</v>
      </c>
    </row>
    <row r="21">
      <c r="A21" s="1" t="s">
        <v>16</v>
      </c>
      <c r="B21" s="6" t="s">
        <v>42</v>
      </c>
      <c r="C21" s="5">
        <v>58.0</v>
      </c>
      <c r="D21" s="4">
        <v>3.0</v>
      </c>
      <c r="E21" s="5">
        <v>4.8</v>
      </c>
      <c r="F21" s="5">
        <v>4.8</v>
      </c>
      <c r="G21" s="5">
        <v>3.0</v>
      </c>
      <c r="H21" s="5">
        <v>10.0</v>
      </c>
      <c r="I21" s="5">
        <v>37.0</v>
      </c>
      <c r="J21" s="4">
        <v>110.0</v>
      </c>
      <c r="K21" s="4">
        <v>8.5</v>
      </c>
      <c r="L21" s="5">
        <v>88.5</v>
      </c>
      <c r="M21" s="5">
        <v>100.0</v>
      </c>
      <c r="N21" s="5">
        <v>16.0</v>
      </c>
      <c r="O21" s="5">
        <v>7.5</v>
      </c>
    </row>
    <row r="22" ht="15.75" customHeight="1">
      <c r="A22" s="1" t="s">
        <v>43</v>
      </c>
      <c r="B22" s="6" t="s">
        <v>44</v>
      </c>
      <c r="C22" s="5">
        <v>32.0</v>
      </c>
      <c r="D22" s="4">
        <v>0.7</v>
      </c>
      <c r="E22" s="5">
        <v>7.7</v>
      </c>
      <c r="F22" s="5">
        <v>5.0</v>
      </c>
      <c r="G22" s="5">
        <v>0.3</v>
      </c>
      <c r="H22" s="5">
        <v>0.0</v>
      </c>
      <c r="I22" s="5">
        <v>1.0</v>
      </c>
      <c r="J22" s="4">
        <v>16.0</v>
      </c>
      <c r="K22" s="4">
        <v>0.0</v>
      </c>
      <c r="L22" s="5">
        <v>90.0</v>
      </c>
      <c r="M22" s="9">
        <f>((2.4*190)+(2*180)+(0.4*100))/4.8</f>
        <v>178.3333333</v>
      </c>
      <c r="N22" s="9">
        <f>((2.4*175)+(2*72.5)+(0.4*100))/4.8</f>
        <v>126.0416667</v>
      </c>
      <c r="O22" s="5">
        <v>45.0</v>
      </c>
    </row>
    <row r="23" ht="15.75" customHeight="1">
      <c r="A23" s="1" t="s">
        <v>43</v>
      </c>
      <c r="B23" s="6" t="s">
        <v>45</v>
      </c>
      <c r="C23" s="5">
        <v>580.0</v>
      </c>
      <c r="D23" s="4">
        <v>16.0</v>
      </c>
      <c r="E23" s="5">
        <v>25.8</v>
      </c>
      <c r="F23" s="5">
        <v>0.0</v>
      </c>
      <c r="G23" s="5">
        <v>50.6</v>
      </c>
      <c r="H23" s="5">
        <v>0.0</v>
      </c>
      <c r="I23" s="5">
        <v>0.0</v>
      </c>
      <c r="J23" s="4">
        <v>0.0</v>
      </c>
      <c r="K23" s="4">
        <v>0.0</v>
      </c>
      <c r="L23" s="5">
        <v>2.0</v>
      </c>
      <c r="M23" s="9">
        <v>0.0</v>
      </c>
      <c r="N23" s="9">
        <v>0.0</v>
      </c>
      <c r="O23" s="5">
        <v>300.0</v>
      </c>
    </row>
    <row r="24" ht="15.75" customHeight="1">
      <c r="A24" s="1" t="s">
        <v>43</v>
      </c>
      <c r="B24" s="6" t="s">
        <v>46</v>
      </c>
      <c r="C24" s="5">
        <v>0.0</v>
      </c>
      <c r="D24" s="4">
        <v>0.0</v>
      </c>
      <c r="E24" s="5">
        <v>0.0</v>
      </c>
      <c r="F24" s="5">
        <v>0.0</v>
      </c>
      <c r="G24" s="5">
        <v>0.0</v>
      </c>
      <c r="H24" s="5">
        <v>0.0</v>
      </c>
      <c r="I24" s="5">
        <v>0.0</v>
      </c>
      <c r="J24" s="4">
        <v>0.0</v>
      </c>
      <c r="K24" s="4">
        <v>0.0</v>
      </c>
      <c r="L24" s="5">
        <v>0.0</v>
      </c>
      <c r="M24" s="9">
        <v>0.0</v>
      </c>
      <c r="N24" s="9">
        <v>0.0</v>
      </c>
      <c r="O24" s="5">
        <v>5000.0</v>
      </c>
    </row>
    <row r="25" ht="15.75" customHeight="1">
      <c r="A25" s="1" t="s">
        <v>43</v>
      </c>
      <c r="B25" s="6" t="s">
        <v>47</v>
      </c>
      <c r="C25" s="5">
        <v>0.0</v>
      </c>
      <c r="D25" s="4">
        <v>0.0</v>
      </c>
      <c r="E25" s="5">
        <v>0.0</v>
      </c>
      <c r="F25" s="5">
        <v>0.0</v>
      </c>
      <c r="G25" s="5">
        <v>0.0</v>
      </c>
      <c r="H25" s="5">
        <v>0.0</v>
      </c>
      <c r="I25" s="5">
        <v>0.0</v>
      </c>
      <c r="J25" s="4">
        <v>0.0</v>
      </c>
      <c r="K25" s="4">
        <v>0.0</v>
      </c>
      <c r="L25" s="5">
        <v>90.0</v>
      </c>
      <c r="M25" s="9">
        <v>0.0</v>
      </c>
      <c r="N25" s="9">
        <v>0.0</v>
      </c>
      <c r="O25" s="5">
        <v>120.0</v>
      </c>
    </row>
    <row r="26" ht="15.75" customHeight="1">
      <c r="A26" s="12" t="s">
        <v>23</v>
      </c>
      <c r="B26" s="13" t="s">
        <v>48</v>
      </c>
      <c r="C26" s="14">
        <v>570.0</v>
      </c>
      <c r="D26" s="14">
        <v>7.0</v>
      </c>
      <c r="E26" s="14">
        <v>55.0</v>
      </c>
      <c r="F26" s="14">
        <v>45.0</v>
      </c>
      <c r="G26" s="14">
        <v>36.0</v>
      </c>
      <c r="H26" s="15">
        <v>0.0</v>
      </c>
      <c r="I26" s="14">
        <v>0.0</v>
      </c>
      <c r="J26" s="15">
        <v>0.0</v>
      </c>
      <c r="K26" s="16">
        <f>1.07*(0.88*D26+6)</f>
        <v>13.0112</v>
      </c>
      <c r="L26" s="15">
        <v>0.0</v>
      </c>
      <c r="M26" s="16">
        <f>((44*100)+(1*100))/45</f>
        <v>100</v>
      </c>
      <c r="N26" s="16">
        <f>((44*100)+(1*16))/45</f>
        <v>98.13333333</v>
      </c>
      <c r="O26" s="14">
        <v>145.0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2026-02-04T16:47:12Z</dcterms:created>
  <dc:creator>openpyxl</dc:creator>
</cp:coreProperties>
</file>