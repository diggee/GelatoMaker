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<sst xmlns="http://schemas.openxmlformats.org/spreadsheetml/2006/main" count="53" uniqueCount="43">
  <si>
    <t>Ingredient</t>
  </si>
  <si>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</si>
  <si>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</si>
  <si>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</si>
  <si>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</si>
  <si>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</si>
  <si>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</si>
  <si>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</si>
  <si>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</si>
  <si>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</si>
  <si>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</si>
  <si>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</si>
  <si>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</si>
  <si>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</si>
  <si>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</si>
  <si>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</si>
  <si>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</si>
  <si>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</si>
  <si>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</si>
  <si>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</si>
  <si>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</si>
  <si>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</si>
  <si>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</si>
  <si>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</si>
  <si>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</si>
  <si>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55% Sugar Free</t>
  </si>
  <si>
    <t>Sugar</t>
  </si>
  <si>
    <t>Popular Essentials Refined Sugar</t>
  </si>
  <si>
    <t>Stabilizer</t>
  </si>
  <si>
    <t>Weikfield Cornstarch</t>
  </si>
  <si>
    <t>Emulsifier</t>
  </si>
  <si>
    <t>Meron Soy Lecithin</t>
  </si>
  <si>
    <t>Meron Guar Gum</t>
  </si>
  <si>
    <t>Dextrose</t>
  </si>
  <si>
    <t>Meron Dextrose</t>
  </si>
  <si>
    <t>Sid's Farm</t>
  </si>
  <si>
    <t xml:space="preserve">Amul Dark Chocolate 75% </t>
  </si>
  <si>
    <t>Amul Belgian Chocolate</t>
  </si>
  <si>
    <t>Cocoa Powder</t>
  </si>
  <si>
    <t>Hershey's Cocoa Powder</t>
  </si>
  <si>
    <t>BAR70 Dark Couverture</t>
  </si>
  <si>
    <t>BAR38 Milk Couverture</t>
  </si>
  <si>
    <t>BAR Cocoa Powder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</si>
</sst>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top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0" fillId="0" fontId="2" numFmtId="1" xfId="0" applyAlignment="1" applyFont="1" applyNumberFormat="1">
      <alignment horizontal="center" readingOrder="0"/>
    </xf>
    <xf borderId="1" fillId="0" fontId="3" numFmtId="0" xfId="0" applyAlignment="1" applyBorder="1" applyFont="1">
      <alignment horizontal="center" vertical="top"/>
    </xf>
    <xf borderId="0" fillId="0" fontId="3" numFmtId="0" xfId="0" applyAlignment="1" applyFont="1">
      <alignment horizontal="center" readingOrder="0" vertical="top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4" numFmtId="2" xfId="0" applyAlignment="1" applyFont="1" applyNumberFormat="1">
      <alignment horizontal="center" vertical="bottom"/>
    </xf>
    <xf borderId="0" fillId="0" fontId="4" numFmtId="1" xfId="0" applyAlignment="1" applyFont="1" applyNumberFormat="1">
      <alignment horizontal="center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29"/>
    <col customWidth="1" min="2" max="2" width="33.14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5" width="6.71"/>
    <col customWidth="1" min="16" max="29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3" t="s">
        <v>16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17</v>
      </c>
      <c r="B3" s="3" t="s">
        <v>18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17</v>
      </c>
      <c r="B4" s="3" t="s">
        <v>19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17</v>
      </c>
      <c r="B5" s="3" t="s">
        <v>20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17</v>
      </c>
      <c r="B6" s="3" t="s">
        <v>21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22</v>
      </c>
      <c r="B7" s="3" t="s">
        <v>23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24</v>
      </c>
      <c r="B8" s="6" t="s">
        <v>25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26</v>
      </c>
      <c r="B9" s="3" t="s">
        <v>27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28</v>
      </c>
      <c r="B10" s="3" t="s">
        <v>29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30</v>
      </c>
      <c r="B11" s="3" t="s">
        <v>31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28</v>
      </c>
      <c r="B12" s="3" t="s">
        <v>32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33</v>
      </c>
      <c r="B13" s="3" t="s">
        <v>34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7" t="s">
        <v>17</v>
      </c>
      <c r="B14" s="8" t="s">
        <v>35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15">
      <c r="A15" s="1" t="s">
        <v>24</v>
      </c>
      <c r="B15" s="6" t="s">
        <v>36</v>
      </c>
      <c r="C15" s="5">
        <v>538.0</v>
      </c>
      <c r="D15" s="5">
        <v>9.6</v>
      </c>
      <c r="E15" s="5">
        <v>37.4</v>
      </c>
      <c r="F15" s="5">
        <v>25.3</v>
      </c>
      <c r="G15" s="5">
        <v>39.8</v>
      </c>
      <c r="H15" s="4">
        <v>0.0</v>
      </c>
      <c r="I15" s="5">
        <v>57.0</v>
      </c>
      <c r="J15" s="4">
        <v>0.0</v>
      </c>
      <c r="K15" s="4">
        <v>0.0</v>
      </c>
      <c r="L15" s="4">
        <v>0.0</v>
      </c>
      <c r="M15" s="9">
        <f>((24.5*100)+(0*100)+(0.8*190))/25.3</f>
        <v>102.8458498</v>
      </c>
      <c r="N15" s="9">
        <f>((24.5*100)+(0*16)+(0.8*130))/25.3</f>
        <v>100.9486166</v>
      </c>
      <c r="O15" s="4">
        <v>120.0</v>
      </c>
    </row>
    <row r="16">
      <c r="A16" s="1" t="s">
        <v>24</v>
      </c>
      <c r="B16" s="6" t="s">
        <v>37</v>
      </c>
      <c r="C16" s="5">
        <v>551.0</v>
      </c>
      <c r="D16" s="5">
        <v>8.7</v>
      </c>
      <c r="E16" s="5">
        <v>51.2</v>
      </c>
      <c r="F16" s="5">
        <v>49.6</v>
      </c>
      <c r="G16" s="5">
        <v>35.3</v>
      </c>
      <c r="H16" s="4">
        <v>0.0</v>
      </c>
      <c r="I16" s="5">
        <v>155.0</v>
      </c>
      <c r="J16" s="4">
        <v>0.0</v>
      </c>
      <c r="K16" s="10">
        <f>1.07*(0.88*D16+8)</f>
        <v>16.75192</v>
      </c>
      <c r="L16" s="4">
        <v>0.0</v>
      </c>
      <c r="M16" s="9">
        <f>((40*100)+(8*100) + (1.6*190))/49.6</f>
        <v>102.9032258</v>
      </c>
      <c r="N16" s="11">
        <f>((40*100)+(8*16)+(1.6*130))/49.6</f>
        <v>87.41935484</v>
      </c>
      <c r="O16" s="5">
        <v>128.0</v>
      </c>
    </row>
    <row r="17">
      <c r="A17" s="1" t="s">
        <v>38</v>
      </c>
      <c r="B17" s="6" t="s">
        <v>39</v>
      </c>
      <c r="C17" s="5">
        <v>409.0</v>
      </c>
      <c r="D17" s="5">
        <v>19.6</v>
      </c>
      <c r="E17" s="5">
        <v>58.0</v>
      </c>
      <c r="F17" s="5">
        <v>1.8</v>
      </c>
      <c r="G17" s="5">
        <v>11.0</v>
      </c>
      <c r="H17" s="4">
        <v>0.0</v>
      </c>
      <c r="I17" s="5">
        <v>4.0</v>
      </c>
      <c r="J17" s="4">
        <v>0.0</v>
      </c>
      <c r="K17" s="10">
        <v>0.0</v>
      </c>
      <c r="L17" s="4">
        <v>0.0</v>
      </c>
      <c r="M17" s="9">
        <v>0.0</v>
      </c>
      <c r="N17" s="11">
        <v>0.0</v>
      </c>
      <c r="O17" s="5">
        <v>200.0</v>
      </c>
    </row>
    <row r="18">
      <c r="A18" s="1" t="s">
        <v>24</v>
      </c>
      <c r="B18" s="6" t="s">
        <v>40</v>
      </c>
      <c r="C18" s="5">
        <v>587.0</v>
      </c>
      <c r="D18" s="5">
        <v>7.0</v>
      </c>
      <c r="E18" s="5">
        <v>50.3</v>
      </c>
      <c r="F18" s="5">
        <v>31.0</v>
      </c>
      <c r="G18" s="5">
        <v>39.7</v>
      </c>
      <c r="H18" s="4">
        <v>0.0</v>
      </c>
      <c r="I18" s="5">
        <v>34.0</v>
      </c>
      <c r="J18" s="4">
        <v>0.0</v>
      </c>
      <c r="K18" s="9">
        <v>0.0</v>
      </c>
      <c r="L18" s="4">
        <v>0.0</v>
      </c>
      <c r="M18" s="9">
        <v>100.0</v>
      </c>
      <c r="N18" s="9">
        <v>100.0</v>
      </c>
      <c r="O18" s="5">
        <v>200.0</v>
      </c>
    </row>
    <row r="19">
      <c r="A19" s="12" t="s">
        <v>24</v>
      </c>
      <c r="B19" s="13" t="s">
        <v>41</v>
      </c>
      <c r="C19" s="14">
        <v>560.0</v>
      </c>
      <c r="D19" s="14">
        <v>4.2</v>
      </c>
      <c r="E19" s="14">
        <v>56.0</v>
      </c>
      <c r="F19" s="14">
        <v>47.0</v>
      </c>
      <c r="G19" s="14">
        <v>35.0</v>
      </c>
      <c r="H19" s="15">
        <v>0.0</v>
      </c>
      <c r="I19" s="14">
        <v>0.0</v>
      </c>
      <c r="J19" s="15">
        <v>0.0</v>
      </c>
      <c r="K19" s="16">
        <f>1.07*(0.88*D19+6)</f>
        <v>10.37472</v>
      </c>
      <c r="L19" s="15">
        <v>0.0</v>
      </c>
      <c r="M19" s="16">
        <f>((46*100)+(5*100))/51</f>
        <v>100</v>
      </c>
      <c r="N19" s="17">
        <f>((46*100)+(5*16))/51</f>
        <v>91.76470588</v>
      </c>
      <c r="O19" s="14">
        <v>145.0</v>
      </c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</row>
    <row r="20">
      <c r="A20" s="1" t="s">
        <v>38</v>
      </c>
      <c r="B20" s="6" t="s">
        <v>42</v>
      </c>
      <c r="C20" s="5">
        <v>313.0</v>
      </c>
      <c r="D20" s="5">
        <v>0.0</v>
      </c>
      <c r="E20" s="5">
        <v>45.7</v>
      </c>
      <c r="F20" s="5">
        <v>1.0</v>
      </c>
      <c r="G20" s="5">
        <v>11.0</v>
      </c>
      <c r="H20" s="4">
        <v>0.0</v>
      </c>
      <c r="I20" s="5">
        <v>25.0</v>
      </c>
      <c r="J20" s="4">
        <v>0.0</v>
      </c>
      <c r="K20" s="10">
        <v>0.0</v>
      </c>
      <c r="L20" s="4">
        <v>0.0</v>
      </c>
      <c r="M20" s="9">
        <v>0.0</v>
      </c>
      <c r="N20" s="11">
        <v>0.0</v>
      </c>
      <c r="O20" s="5">
        <v>200.0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