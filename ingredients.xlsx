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<sst xmlns="http://schemas.openxmlformats.org/spreadsheetml/2006/main" count="62" uniqueCount="48">
  <si>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</si>
  <si>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</si>
  <si>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</si>
  <si>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</si>
  <si>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</si>
  <si>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</si>
  <si>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</si>
  <si>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</si>
  <si>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</si>
  <si>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</si>
  <si>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</si>
  <si>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</si>
  <si>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</si>
  <si>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</si>
  <si>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</si>
  <si>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</si>
  <si>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</si>
  <si>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</si>
  <si>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</si>
  <si>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</si>
  <si>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</si>
  <si>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</si>
  <si>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</si>
  <si>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</si>
  <si>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</si>
  <si>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</si>
  <si>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</si>
  <si>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</si>
  <si>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</si>
  <si>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</si>
  <si>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</si>
  <si>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</si>
  <si>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</si>
  <si>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</si>
  <si>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</si>
  <si>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</si>
  <si>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</si>
  <si>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</si>
  <si>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</si>
  <si>
    <t>BAR70 Dark Couverture</t>
  </si>
  <si>
    <t>BAR38 Milk Couverture</t>
  </si>
  <si>
    <t>BAR Cocoa Powder</t>
  </si>
  <si>
    <t>Amul Taaza Tetrapack</t>
  </si>
  <si>
    <t>Mix-in</t>
  </si>
  <si>
    <t>Strawberry</t>
  </si>
  <si>
    <t>Hazelnut Paste</t>
  </si>
  <si>
    <t>Vanilla Bean</t>
  </si>
  <si>
    <t>Lemon Juice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</si>
</sst>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horizontal="center" readingOrder="0" vertical="top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1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4" width="7.0"/>
    <col customWidth="1" min="15" max="15" width="6.71"/>
    <col customWidth="1" min="16" max="29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>
      <c r="A2" s="1" t="s">
        <v>14</v>
      </c>
      <c r="B2" s="3" t="s">
        <v>15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16</v>
      </c>
      <c r="B3" s="3" t="s">
        <v>17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16</v>
      </c>
      <c r="B4" s="3" t="s">
        <v>18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16</v>
      </c>
      <c r="B5" s="3" t="s">
        <v>19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16</v>
      </c>
      <c r="B6" s="3" t="s">
        <v>20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21</v>
      </c>
      <c r="B7" s="3" t="s">
        <v>22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23</v>
      </c>
      <c r="B8" s="6" t="s">
        <v>24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25</v>
      </c>
      <c r="B9" s="3" t="s">
        <v>26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27</v>
      </c>
      <c r="B10" s="3" t="s">
        <v>28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29</v>
      </c>
      <c r="B11" s="3" t="s">
        <v>30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27</v>
      </c>
      <c r="B12" s="3" t="s">
        <v>31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32</v>
      </c>
      <c r="B13" s="3" t="s">
        <v>33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16</v>
      </c>
      <c r="B14" s="8" t="s">
        <v>34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23</v>
      </c>
      <c r="B15" s="6" t="s">
        <v>35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((24.5*100)+(0*100)+(0.8*190))/25.3</f>
        <v>102.8458498</v>
      </c>
      <c r="N15" s="9">
        <f>((24.5*100)+(0*16)+(0.8*130))/25.3</f>
        <v>100.9486166</v>
      </c>
      <c r="O15" s="4">
        <v>120.0</v>
      </c>
    </row>
    <row r="16">
      <c r="A16" s="1" t="s">
        <v>23</v>
      </c>
      <c r="B16" s="6" t="s">
        <v>36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((40*100)+(8*100) + (1.6*190))/49.6</f>
        <v>102.9032258</v>
      </c>
      <c r="N16" s="11">
        <f>((40*100)+(8*16)+(1.6*130))/49.6</f>
        <v>87.41935484</v>
      </c>
      <c r="O16" s="5">
        <v>128.0</v>
      </c>
    </row>
    <row r="17">
      <c r="A17" s="1" t="s">
        <v>37</v>
      </c>
      <c r="B17" s="6" t="s">
        <v>38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0.0</v>
      </c>
      <c r="N17" s="11">
        <v>0.0</v>
      </c>
      <c r="O17" s="5">
        <v>200.0</v>
      </c>
    </row>
    <row r="18">
      <c r="A18" s="1" t="s">
        <v>23</v>
      </c>
      <c r="B18" s="6" t="s">
        <v>39</v>
      </c>
      <c r="C18" s="5">
        <v>600.0</v>
      </c>
      <c r="D18" s="5">
        <v>8.0</v>
      </c>
      <c r="E18" s="5">
        <v>51.0</v>
      </c>
      <c r="F18" s="5">
        <v>27.0</v>
      </c>
      <c r="G18" s="5">
        <v>37.0</v>
      </c>
      <c r="H18" s="4">
        <v>0.0</v>
      </c>
      <c r="I18" s="5">
        <v>30.0</v>
      </c>
      <c r="J18" s="4">
        <v>0.0</v>
      </c>
      <c r="K18" s="9">
        <v>0.0</v>
      </c>
      <c r="L18" s="4">
        <v>0.0</v>
      </c>
      <c r="M18" s="9">
        <v>100.0</v>
      </c>
      <c r="N18" s="9">
        <v>100.0</v>
      </c>
      <c r="O18" s="5">
        <v>195.0</v>
      </c>
    </row>
    <row r="19">
      <c r="A19" s="12" t="s">
        <v>23</v>
      </c>
      <c r="B19" s="13" t="s">
        <v>40</v>
      </c>
      <c r="C19" s="14">
        <v>560.0</v>
      </c>
      <c r="D19" s="14">
        <v>4.2</v>
      </c>
      <c r="E19" s="14">
        <v>56.0</v>
      </c>
      <c r="F19" s="14">
        <v>47.0</v>
      </c>
      <c r="G19" s="14">
        <v>35.0</v>
      </c>
      <c r="H19" s="15">
        <v>0.0</v>
      </c>
      <c r="I19" s="14">
        <v>0.0</v>
      </c>
      <c r="J19" s="15">
        <v>0.0</v>
      </c>
      <c r="K19" s="16">
        <f>1.07*(0.88*D19+6)</f>
        <v>10.37472</v>
      </c>
      <c r="L19" s="15">
        <v>0.0</v>
      </c>
      <c r="M19" s="16">
        <f>((46*100)+(5*100))/51</f>
        <v>100</v>
      </c>
      <c r="N19" s="17">
        <f>((46*100)+(5*16))/51</f>
        <v>91.76470588</v>
      </c>
      <c r="O19" s="14">
        <v>145.0</v>
      </c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>
      <c r="A20" s="1" t="s">
        <v>37</v>
      </c>
      <c r="B20" s="6" t="s">
        <v>41</v>
      </c>
      <c r="C20" s="5">
        <v>313.0</v>
      </c>
      <c r="D20" s="5">
        <v>0.0</v>
      </c>
      <c r="E20" s="5">
        <v>45.7</v>
      </c>
      <c r="F20" s="5">
        <v>1.0</v>
      </c>
      <c r="G20" s="5">
        <v>11.0</v>
      </c>
      <c r="H20" s="4">
        <v>0.0</v>
      </c>
      <c r="I20" s="5">
        <v>25.0</v>
      </c>
      <c r="J20" s="4">
        <v>0.0</v>
      </c>
      <c r="K20" s="10">
        <v>0.0</v>
      </c>
      <c r="L20" s="4">
        <v>0.0</v>
      </c>
      <c r="M20" s="9">
        <v>0.0</v>
      </c>
      <c r="N20" s="11">
        <v>0.0</v>
      </c>
      <c r="O20" s="5">
        <v>200.0</v>
      </c>
    </row>
    <row r="21">
      <c r="A21" s="1" t="s">
        <v>16</v>
      </c>
      <c r="B21" s="6" t="s">
        <v>42</v>
      </c>
      <c r="C21" s="5">
        <v>58.0</v>
      </c>
      <c r="D21" s="4">
        <v>3.0</v>
      </c>
      <c r="E21" s="5">
        <v>4.8</v>
      </c>
      <c r="F21" s="5">
        <v>4.8</v>
      </c>
      <c r="G21" s="5">
        <v>3.0</v>
      </c>
      <c r="H21" s="5">
        <v>10.0</v>
      </c>
      <c r="I21" s="5">
        <v>37.0</v>
      </c>
      <c r="J21" s="4">
        <v>110.0</v>
      </c>
      <c r="K21" s="4">
        <v>8.5</v>
      </c>
      <c r="L21" s="5">
        <v>88.5</v>
      </c>
      <c r="M21" s="5">
        <v>100.0</v>
      </c>
      <c r="N21" s="5">
        <v>16.0</v>
      </c>
      <c r="O21" s="5">
        <v>7.5</v>
      </c>
    </row>
    <row r="22" ht="15.75" customHeight="1">
      <c r="A22" s="1" t="s">
        <v>43</v>
      </c>
      <c r="B22" s="6" t="s">
        <v>44</v>
      </c>
      <c r="C22" s="5">
        <v>32.0</v>
      </c>
      <c r="D22" s="4">
        <v>0.7</v>
      </c>
      <c r="E22" s="5">
        <v>7.7</v>
      </c>
      <c r="F22" s="5">
        <v>5.0</v>
      </c>
      <c r="G22" s="5">
        <v>0.3</v>
      </c>
      <c r="H22" s="5">
        <v>0.0</v>
      </c>
      <c r="I22" s="5">
        <v>1.0</v>
      </c>
      <c r="J22" s="4">
        <v>16.0</v>
      </c>
      <c r="K22" s="4">
        <v>0.0</v>
      </c>
      <c r="L22" s="5">
        <v>90.0</v>
      </c>
      <c r="M22" s="9">
        <f>((2.4*190)+(2*180)+(0.4*100))/4.8</f>
        <v>178.3333333</v>
      </c>
      <c r="N22" s="9">
        <f>((2.4*175)+(2*72.5)+(0.4*100))/4.8</f>
        <v>126.0416667</v>
      </c>
      <c r="O22" s="5">
        <v>45.0</v>
      </c>
    </row>
    <row r="23" ht="15.75" customHeight="1">
      <c r="A23" s="1" t="s">
        <v>43</v>
      </c>
      <c r="B23" s="6" t="s">
        <v>45</v>
      </c>
      <c r="C23" s="5">
        <v>580.0</v>
      </c>
      <c r="D23" s="4">
        <v>16.0</v>
      </c>
      <c r="E23" s="5">
        <v>25.8</v>
      </c>
      <c r="F23" s="5">
        <v>0.0</v>
      </c>
      <c r="G23" s="5">
        <v>50.6</v>
      </c>
      <c r="H23" s="5">
        <v>0.0</v>
      </c>
      <c r="I23" s="5">
        <v>0.0</v>
      </c>
      <c r="J23" s="4">
        <v>0.0</v>
      </c>
      <c r="K23" s="4">
        <v>0.0</v>
      </c>
      <c r="L23" s="5">
        <v>2.0</v>
      </c>
      <c r="M23" s="9">
        <v>0.0</v>
      </c>
      <c r="N23" s="9">
        <v>0.0</v>
      </c>
      <c r="O23" s="5">
        <v>300.0</v>
      </c>
    </row>
    <row r="24" ht="15.75" customHeight="1">
      <c r="A24" s="1" t="s">
        <v>43</v>
      </c>
      <c r="B24" s="6" t="s">
        <v>46</v>
      </c>
      <c r="C24" s="5">
        <v>0.0</v>
      </c>
      <c r="D24" s="4">
        <v>0.0</v>
      </c>
      <c r="E24" s="5">
        <v>0.0</v>
      </c>
      <c r="F24" s="5">
        <v>0.0</v>
      </c>
      <c r="G24" s="5">
        <v>0.0</v>
      </c>
      <c r="H24" s="5">
        <v>0.0</v>
      </c>
      <c r="I24" s="5">
        <v>0.0</v>
      </c>
      <c r="J24" s="4">
        <v>0.0</v>
      </c>
      <c r="K24" s="4">
        <v>0.0</v>
      </c>
      <c r="L24" s="5">
        <v>0.0</v>
      </c>
      <c r="M24" s="9">
        <v>0.0</v>
      </c>
      <c r="N24" s="9">
        <v>0.0</v>
      </c>
      <c r="O24" s="5">
        <v>5000.0</v>
      </c>
    </row>
    <row r="25" ht="15.75" customHeight="1">
      <c r="A25" s="1" t="s">
        <v>43</v>
      </c>
      <c r="B25" s="6" t="s">
        <v>47</v>
      </c>
      <c r="C25" s="5">
        <v>0.0</v>
      </c>
      <c r="D25" s="4">
        <v>0.0</v>
      </c>
      <c r="E25" s="5">
        <v>0.0</v>
      </c>
      <c r="F25" s="5">
        <v>0.0</v>
      </c>
      <c r="G25" s="5">
        <v>0.0</v>
      </c>
      <c r="H25" s="5">
        <v>0.0</v>
      </c>
      <c r="I25" s="5">
        <v>0.0</v>
      </c>
      <c r="J25" s="4">
        <v>0.0</v>
      </c>
      <c r="K25" s="4">
        <v>0.0</v>
      </c>
      <c r="L25" s="5">
        <v>90.0</v>
      </c>
      <c r="M25" s="9">
        <v>0.0</v>
      </c>
      <c r="N25" s="9">
        <v>0.0</v>
      </c>
      <c r="O25" s="5">
        <v>120.0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